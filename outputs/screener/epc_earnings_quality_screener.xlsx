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Accrual Scre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name val="Calibri"/>
      <family val="2"/>
      <color theme="1"/>
      <sz val="11"/>
      <scheme val="minor"/>
    </font>
    <font>
      <b val="1"/>
      <color rgb="001A3A5C"/>
      <sz val="14"/>
    </font>
    <font>
      <i val="1"/>
      <color rgb="006B6B6B"/>
      <sz val="9"/>
    </font>
    <font>
      <b val="1"/>
      <color rgb="00FFFFFF"/>
      <sz val="10"/>
    </font>
    <font>
      <b val="1"/>
      <color rgb="001A3A5C"/>
      <sz val="16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FY26 Accrual Ratio by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'Accrual Screen'!H4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'Accrual Screen'!$A$5:$A$8</f>
            </numRef>
          </cat>
          <val>
            <numRef>
              <f>'Accrual Screen'!$H$5:$H$8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Accrual Ratio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EPC Earnings-Quality Screener</t>
        </is>
      </c>
    </row>
    <row r="2">
      <c r="A2" t="inlineStr"/>
    </row>
    <row r="3">
      <c r="A3" t="inlineStr">
        <is>
          <t>What this is: a live, formula-driven version of the accrual-quality screen in src/accruals.py, covering 4 listed EPC/infrastructure companies —</t>
        </is>
      </c>
    </row>
    <row r="4">
      <c r="A4" t="inlineStr">
        <is>
          <t>Larsen &amp; Toubro, KEC International, NCC Limited, PSP Projects — FY25 and FY26,</t>
        </is>
      </c>
    </row>
    <row r="5">
      <c r="A5" t="inlineStr">
        <is>
          <t>consolidated basis.</t>
        </is>
      </c>
    </row>
    <row r="6">
      <c r="A6" t="inlineStr"/>
    </row>
    <row r="7">
      <c r="A7" t="inlineStr">
        <is>
          <t>How to use it:</t>
        </is>
      </c>
    </row>
    <row r="8">
      <c r="A8" t="inlineStr">
        <is>
          <t xml:space="preserve">  1. Inputs — the raw, page-cited figures. Nothing here is a formula; every</t>
        </is>
      </c>
    </row>
    <row r="9">
      <c r="A9" t="inlineStr">
        <is>
          <t xml:space="preserve">     cell traces to a specific annual report page (see source_page_note).</t>
        </is>
      </c>
    </row>
    <row r="10">
      <c r="A10" t="inlineStr">
        <is>
          <t xml:space="preserve">  2. Reconciliation — a live check that Total Assets = Total Equity +</t>
        </is>
      </c>
    </row>
    <row r="11">
      <c r="A11" t="inlineStr">
        <is>
          <t xml:space="preserve">     Total Liabilities for every company-year, independent of the Python</t>
        </is>
      </c>
    </row>
    <row r="12">
      <c r="A12" t="inlineStr">
        <is>
          <t xml:space="preserve">     reconciliation already run in src/accruals.py.</t>
        </is>
      </c>
    </row>
    <row r="13">
      <c r="A13" t="inlineStr">
        <is>
          <t xml:space="preserve">  3. Accrual Screen — the actual model. Change any figure on the Inputs</t>
        </is>
      </c>
    </row>
    <row r="14">
      <c r="A14" t="inlineStr">
        <is>
          <t xml:space="preserve">     sheet and every ratio here recalculates automatically.</t>
        </is>
      </c>
    </row>
    <row r="15">
      <c r="A15" t="inlineStr"/>
    </row>
    <row r="16">
      <c r="A16" t="inlineStr">
        <is>
          <t>Methodology: Sloan (1996) total accrual ratio, computed via the cash-flow</t>
        </is>
      </c>
    </row>
    <row r="17">
      <c r="A17" t="inlineStr">
        <is>
          <t>method: (PAT − CFO) / Average Total Assets. See reports/methodology_memo.pdf</t>
        </is>
      </c>
    </row>
    <row r="18">
      <c r="A18" t="inlineStr">
        <is>
          <t>for the full writeup, including why this is a comparative screen across four</t>
        </is>
      </c>
    </row>
    <row r="19">
      <c r="A19" t="inlineStr">
        <is>
          <t>companies rather than a scored/ranked universe, and what it deliberately</t>
        </is>
      </c>
    </row>
    <row r="20">
      <c r="A20" t="inlineStr">
        <is>
          <t>does not attempt (Modified Jones discretionary accruals, Beneish M-score,</t>
        </is>
      </c>
    </row>
    <row r="21">
      <c r="A21" t="inlineStr">
        <is>
          <t>Piotroski F-score — see LIMITATIONS.md).</t>
        </is>
      </c>
    </row>
    <row r="22">
      <c r="A22" t="inlineStr"/>
    </row>
    <row r="23">
      <c r="A23" t="inlineStr">
        <is>
          <t>Author: Shaswat Sharma (github.com/theshaswat)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  <col width="16" customWidth="1" min="4" max="4"/>
    <col width="16" customWidth="1" min="5" max="5"/>
    <col width="18" customWidth="1" min="6" max="6"/>
    <col width="12" customWidth="1" min="7" max="7"/>
    <col width="12" customWidth="1" min="8" max="8"/>
    <col width="60" customWidth="1" min="9" max="9"/>
  </cols>
  <sheetData>
    <row r="1">
      <c r="A1" s="2" t="inlineStr">
        <is>
          <t>EPC Earnings-Quality Screen — Verified Inputs</t>
        </is>
      </c>
    </row>
    <row r="2">
      <c r="A2" s="3" t="inlineStr">
        <is>
          <t>Every figure below is hand-extracted from a cited page of a real, downloaded filing. See source_page_note for the exact citation.</t>
        </is>
      </c>
    </row>
    <row r="4">
      <c r="A4" s="4" t="inlineStr">
        <is>
          <t>Company</t>
        </is>
      </c>
      <c r="B4" s="4" t="inlineStr">
        <is>
          <t>Basis</t>
        </is>
      </c>
      <c r="C4" s="4" t="inlineStr">
        <is>
          <t>FY</t>
        </is>
      </c>
      <c r="D4" s="4" t="inlineStr">
        <is>
          <t>Total Assets (₹ Cr)</t>
        </is>
      </c>
      <c r="E4" s="4" t="inlineStr">
        <is>
          <t>Total Equity (₹ Cr)</t>
        </is>
      </c>
      <c r="F4" s="4" t="inlineStr">
        <is>
          <t>Total Liabilities (₹ Cr)</t>
        </is>
      </c>
      <c r="G4" s="4" t="inlineStr">
        <is>
          <t>PAT (₹ Cr)</t>
        </is>
      </c>
      <c r="H4" s="4" t="inlineStr">
        <is>
          <t>CFO (₹ Cr)</t>
        </is>
      </c>
      <c r="I4" s="4" t="inlineStr">
        <is>
          <t>Source / Page Note</t>
        </is>
      </c>
    </row>
    <row r="5">
      <c r="A5" s="5" t="inlineStr">
        <is>
          <t>KEC International</t>
        </is>
      </c>
      <c r="B5" s="5" t="inlineStr">
        <is>
          <t>consolidated</t>
        </is>
      </c>
      <c r="C5" s="5" t="inlineStr">
        <is>
          <t>FY25</t>
        </is>
      </c>
      <c r="D5" s="6" t="n">
        <v>22179.92</v>
      </c>
      <c r="E5" s="6" t="n">
        <v>5347.45</v>
      </c>
      <c r="F5" s="6" t="n">
        <v>16832.47</v>
      </c>
      <c r="G5" s="6" t="n">
        <v>570.74</v>
      </c>
      <c r="H5" s="6" t="n">
        <v>419.07</v>
      </c>
      <c r="I5" s="5" t="inlineStr">
        <is>
          <t>KEC_AR_FY26.pdf p.117-118 (prior-year column)</t>
        </is>
      </c>
    </row>
    <row r="6">
      <c r="A6" s="5" t="inlineStr">
        <is>
          <t>KEC International</t>
        </is>
      </c>
      <c r="B6" s="5" t="inlineStr">
        <is>
          <t>consolidated</t>
        </is>
      </c>
      <c r="C6" s="5" t="inlineStr">
        <is>
          <t>FY26</t>
        </is>
      </c>
      <c r="D6" s="6" t="n">
        <v>25158.06</v>
      </c>
      <c r="E6" s="6" t="n">
        <v>6159.69</v>
      </c>
      <c r="F6" s="6" t="n">
        <v>18998.37</v>
      </c>
      <c r="G6" s="6" t="n">
        <v>605.59</v>
      </c>
      <c r="H6" s="6" t="n">
        <v>-414.12</v>
      </c>
      <c r="I6" s="5" t="inlineStr">
        <is>
          <t>KEC_AR_FY26.pdf p.117 (balance sheet) p.118 (P&amp;L "PROFIT FOR THE YEAR AFTER TAX" 605.59 and cash flow). Consolidated equity shows no non-controlling interest, so this is total group profit.</t>
        </is>
      </c>
    </row>
    <row r="7">
      <c r="A7" s="5" t="inlineStr">
        <is>
          <t>Larsen &amp; Toubro</t>
        </is>
      </c>
      <c r="B7" s="5" t="inlineStr">
        <is>
          <t>consolidated</t>
        </is>
      </c>
      <c r="C7" s="5" t="inlineStr">
        <is>
          <t>FY25</t>
        </is>
      </c>
      <c r="D7" s="6" t="n">
        <v>379524.1</v>
      </c>
      <c r="E7" s="6" t="n">
        <v>115403.68</v>
      </c>
      <c r="F7" s="6" t="n">
        <v>264120.42</v>
      </c>
      <c r="G7" s="5" t="n">
        <v/>
      </c>
      <c r="H7" s="5" t="n">
        <v/>
      </c>
      <c r="I7" s="5" t="inlineStr">
        <is>
          <t>LT_FY26_Results.pdf p.11 (prior-year column)</t>
        </is>
      </c>
    </row>
    <row r="8">
      <c r="A8" s="5" t="inlineStr">
        <is>
          <t>Larsen &amp; Toubro</t>
        </is>
      </c>
      <c r="B8" s="5" t="inlineStr">
        <is>
          <t>consolidated</t>
        </is>
      </c>
      <c r="C8" s="5" t="inlineStr">
        <is>
          <t>FY26</t>
        </is>
      </c>
      <c r="D8" s="6" t="n">
        <v>452549.88</v>
      </c>
      <c r="E8" s="6" t="n">
        <v>128530.46</v>
      </c>
      <c r="F8" s="6" t="n">
        <v>324019.42</v>
      </c>
      <c r="G8" s="6" t="n">
        <v>18953.88</v>
      </c>
      <c r="H8" s="6" t="n">
        <v>16740.97</v>
      </c>
      <c r="I8" s="5" t="inlineStr">
        <is>
          <t>LT_FY26_Results.pdf p.11 (balance sheet), p.10 line 9 "Net profit after tax including share in profit/(loss) of joint ventures/associates" = 18953.88 total group profit (owners 16083.99 + non-controlling interests 2869.89) -- total used, not the attributable slice, to stay consistent with group CFO and group total assets; includes the one-time labour-code exceptional provision, p.13 (cash flow)</t>
        </is>
      </c>
    </row>
    <row r="9">
      <c r="A9" s="5" t="inlineStr">
        <is>
          <t>NCC Limited</t>
        </is>
      </c>
      <c r="B9" s="5" t="inlineStr">
        <is>
          <t>consolidated</t>
        </is>
      </c>
      <c r="C9" s="5" t="inlineStr">
        <is>
          <t>FY25</t>
        </is>
      </c>
      <c r="D9" s="6" t="n">
        <v>21006.38</v>
      </c>
      <c r="E9" s="6" t="n">
        <v>7502.44</v>
      </c>
      <c r="F9" s="6" t="n">
        <v>13503.94</v>
      </c>
      <c r="G9" s="6" t="n">
        <v>868.25</v>
      </c>
      <c r="H9" s="6" t="n">
        <v>741.7</v>
      </c>
      <c r="I9" s="5" t="inlineStr">
        <is>
          <t>NCC_AR_FY26.pdf p.249-250 (prior-year column)</t>
        </is>
      </c>
    </row>
    <row r="10">
      <c r="A10" s="5" t="inlineStr">
        <is>
          <t>NCC Limited</t>
        </is>
      </c>
      <c r="B10" s="5" t="inlineStr">
        <is>
          <t>consolidated</t>
        </is>
      </c>
      <c r="C10" s="5" t="inlineStr">
        <is>
          <t>FY26</t>
        </is>
      </c>
      <c r="D10" s="6" t="n">
        <v>26006.07</v>
      </c>
      <c r="E10" s="6" t="n">
        <v>8029.12</v>
      </c>
      <c r="F10" s="6" t="n">
        <v>17976.95</v>
      </c>
      <c r="G10" s="6" t="n">
        <v>723.96</v>
      </c>
      <c r="H10" s="6" t="n">
        <v>-458.51</v>
      </c>
      <c r="I10" s="5" t="inlineStr">
        <is>
          <t>NCC_AR_FY26.pdf p.249-250 (balance sheet) p.251 (P&amp;L "Profit for the year" 723.96 = total group profit, of which non-controlling interests 48.64) p.254-255 (cash flow)</t>
        </is>
      </c>
    </row>
    <row r="11">
      <c r="A11" s="5" t="inlineStr">
        <is>
          <t>PSP Projects</t>
        </is>
      </c>
      <c r="B11" s="5" t="inlineStr">
        <is>
          <t>consolidated</t>
        </is>
      </c>
      <c r="C11" s="5" t="inlineStr">
        <is>
          <t>FY25</t>
        </is>
      </c>
      <c r="D11" s="6" t="n">
        <v>2353.0657</v>
      </c>
      <c r="E11" s="6" t="n">
        <v>1208.9403</v>
      </c>
      <c r="F11" s="6" t="n">
        <v>1144.1254</v>
      </c>
      <c r="G11" s="6" t="n">
        <v>56.418</v>
      </c>
      <c r="H11" s="6" t="n">
        <v>52.7101</v>
      </c>
      <c r="I11" s="5" t="inlineStr">
        <is>
          <t>PSP_AR_FY26.pdf p.212-214, converted Rs Lakh to Rs Crore (/100), prior-year column; PAT = 5796.04 - 154.24 (JV share) Lakh</t>
        </is>
      </c>
    </row>
    <row r="12">
      <c r="A12" s="5" t="inlineStr">
        <is>
          <t>PSP Projects</t>
        </is>
      </c>
      <c r="B12" s="5" t="inlineStr">
        <is>
          <t>consolidated</t>
        </is>
      </c>
      <c r="C12" s="5" t="inlineStr">
        <is>
          <t>FY26</t>
        </is>
      </c>
      <c r="D12" s="6" t="n">
        <v>3088.8782</v>
      </c>
      <c r="E12" s="6" t="n">
        <v>1263.9519</v>
      </c>
      <c r="F12" s="6" t="n">
        <v>1824.9263</v>
      </c>
      <c r="G12" s="6" t="n">
        <v>55.5158</v>
      </c>
      <c r="H12" s="6" t="n">
        <v>322.8159</v>
      </c>
      <c r="I12" s="5" t="inlineStr">
        <is>
          <t>PSP_AR_FY26.pdf p.212 (balance sheet) p.213 (P&amp;L: 5559.21 profit before JV share, less JV share of loss 7.63 = 5551.58) p.214 (cash flow); Rs Lakh converted to Rs Crore (/100). Non-controlling interests are nil, so this is total group profit.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6" customWidth="1" min="4" max="4"/>
    <col width="18" customWidth="1" min="5" max="5"/>
    <col width="20" customWidth="1" min="6" max="6"/>
    <col width="16" customWidth="1" min="7" max="7"/>
  </cols>
  <sheetData>
    <row r="1">
      <c r="A1" s="2" t="inlineStr">
        <is>
          <t>Balance-Sheet Tie-Out — Assets = Equity + Liabilities</t>
        </is>
      </c>
    </row>
    <row r="2">
      <c r="A2" s="3" t="inlineStr">
        <is>
          <t>Live formula check, independent of src/accruals.py's Python reconciliation (data/processed/reconciliation_log.md) — both must agree.</t>
        </is>
      </c>
    </row>
    <row r="4">
      <c r="A4" s="4" t="inlineStr">
        <is>
          <t>Company</t>
        </is>
      </c>
      <c r="B4" s="4" t="inlineStr">
        <is>
          <t>FY</t>
        </is>
      </c>
      <c r="C4" s="4" t="inlineStr">
        <is>
          <t>Total Assets</t>
        </is>
      </c>
      <c r="D4" s="4" t="inlineStr">
        <is>
          <t>Total Equity</t>
        </is>
      </c>
      <c r="E4" s="4" t="inlineStr">
        <is>
          <t>Total Liabilities</t>
        </is>
      </c>
      <c r="F4" s="4" t="inlineStr">
        <is>
          <t>Equity + Liabilities</t>
        </is>
      </c>
      <c r="G4" s="4" t="inlineStr">
        <is>
          <t>Diff (should be ~0)</t>
        </is>
      </c>
    </row>
    <row r="5">
      <c r="A5" s="5">
        <f>Inputs!A5</f>
        <v/>
      </c>
      <c r="B5" s="5">
        <f>Inputs!C5</f>
        <v/>
      </c>
      <c r="C5" s="6">
        <f>Inputs!D5</f>
        <v/>
      </c>
      <c r="D5" s="6">
        <f>Inputs!E5</f>
        <v/>
      </c>
      <c r="E5" s="6">
        <f>Inputs!F5</f>
        <v/>
      </c>
      <c r="F5" s="6">
        <f>D5+E5</f>
        <v/>
      </c>
      <c r="G5" s="7">
        <f>C5-F5</f>
        <v/>
      </c>
    </row>
    <row r="6">
      <c r="A6" s="5">
        <f>Inputs!A6</f>
        <v/>
      </c>
      <c r="B6" s="5">
        <f>Inputs!C6</f>
        <v/>
      </c>
      <c r="C6" s="6">
        <f>Inputs!D6</f>
        <v/>
      </c>
      <c r="D6" s="6">
        <f>Inputs!E6</f>
        <v/>
      </c>
      <c r="E6" s="6">
        <f>Inputs!F6</f>
        <v/>
      </c>
      <c r="F6" s="6">
        <f>D6+E6</f>
        <v/>
      </c>
      <c r="G6" s="7">
        <f>C6-F6</f>
        <v/>
      </c>
    </row>
    <row r="7">
      <c r="A7" s="5">
        <f>Inputs!A7</f>
        <v/>
      </c>
      <c r="B7" s="5">
        <f>Inputs!C7</f>
        <v/>
      </c>
      <c r="C7" s="6">
        <f>Inputs!D7</f>
        <v/>
      </c>
      <c r="D7" s="6">
        <f>Inputs!E7</f>
        <v/>
      </c>
      <c r="E7" s="6">
        <f>Inputs!F7</f>
        <v/>
      </c>
      <c r="F7" s="6">
        <f>D7+E7</f>
        <v/>
      </c>
      <c r="G7" s="7">
        <f>C7-F7</f>
        <v/>
      </c>
    </row>
    <row r="8">
      <c r="A8" s="5">
        <f>Inputs!A8</f>
        <v/>
      </c>
      <c r="B8" s="5">
        <f>Inputs!C8</f>
        <v/>
      </c>
      <c r="C8" s="6">
        <f>Inputs!D8</f>
        <v/>
      </c>
      <c r="D8" s="6">
        <f>Inputs!E8</f>
        <v/>
      </c>
      <c r="E8" s="6">
        <f>Inputs!F8</f>
        <v/>
      </c>
      <c r="F8" s="6">
        <f>D8+E8</f>
        <v/>
      </c>
      <c r="G8" s="7">
        <f>C8-F8</f>
        <v/>
      </c>
    </row>
    <row r="9">
      <c r="A9" s="5">
        <f>Inputs!A9</f>
        <v/>
      </c>
      <c r="B9" s="5">
        <f>Inputs!C9</f>
        <v/>
      </c>
      <c r="C9" s="6">
        <f>Inputs!D9</f>
        <v/>
      </c>
      <c r="D9" s="6">
        <f>Inputs!E9</f>
        <v/>
      </c>
      <c r="E9" s="6">
        <f>Inputs!F9</f>
        <v/>
      </c>
      <c r="F9" s="6">
        <f>D9+E9</f>
        <v/>
      </c>
      <c r="G9" s="7">
        <f>C9-F9</f>
        <v/>
      </c>
    </row>
    <row r="10">
      <c r="A10" s="5">
        <f>Inputs!A10</f>
        <v/>
      </c>
      <c r="B10" s="5">
        <f>Inputs!C10</f>
        <v/>
      </c>
      <c r="C10" s="6">
        <f>Inputs!D10</f>
        <v/>
      </c>
      <c r="D10" s="6">
        <f>Inputs!E10</f>
        <v/>
      </c>
      <c r="E10" s="6">
        <f>Inputs!F10</f>
        <v/>
      </c>
      <c r="F10" s="6">
        <f>D10+E10</f>
        <v/>
      </c>
      <c r="G10" s="7">
        <f>C10-F10</f>
        <v/>
      </c>
    </row>
    <row r="11">
      <c r="A11" s="5">
        <f>Inputs!A11</f>
        <v/>
      </c>
      <c r="B11" s="5">
        <f>Inputs!C11</f>
        <v/>
      </c>
      <c r="C11" s="6">
        <f>Inputs!D11</f>
        <v/>
      </c>
      <c r="D11" s="6">
        <f>Inputs!E11</f>
        <v/>
      </c>
      <c r="E11" s="6">
        <f>Inputs!F11</f>
        <v/>
      </c>
      <c r="F11" s="6">
        <f>D11+E11</f>
        <v/>
      </c>
      <c r="G11" s="7">
        <f>C11-F11</f>
        <v/>
      </c>
    </row>
    <row r="12">
      <c r="A12" s="5">
        <f>Inputs!A12</f>
        <v/>
      </c>
      <c r="B12" s="5">
        <f>Inputs!C12</f>
        <v/>
      </c>
      <c r="C12" s="6">
        <f>Inputs!D12</f>
        <v/>
      </c>
      <c r="D12" s="6">
        <f>Inputs!E12</f>
        <v/>
      </c>
      <c r="E12" s="6">
        <f>Inputs!F12</f>
        <v/>
      </c>
      <c r="F12" s="6">
        <f>D12+E12</f>
        <v/>
      </c>
      <c r="G12" s="7">
        <f>C12-F12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0" customWidth="1" min="7" max="7"/>
    <col width="14" customWidth="1" min="8" max="8"/>
  </cols>
  <sheetData>
    <row r="1">
      <c r="A1" s="2" t="inlineStr">
        <is>
          <t>FY26 Accrual-Ratio Screen — Sloan (1996) Total Accruals</t>
        </is>
      </c>
    </row>
    <row r="2">
      <c r="A2" s="3" t="inlineStr">
        <is>
          <t>Total Accrual Ratio = (PAT − CFO) / Average Total Assets. Positive = profit exceeds cash generated (lower quality). Negative = cash-backed profit (higher quality).</t>
        </is>
      </c>
    </row>
    <row r="4">
      <c r="A4" s="4" t="inlineStr">
        <is>
          <t>Company</t>
        </is>
      </c>
      <c r="B4" s="4" t="inlineStr">
        <is>
          <t>FY26 Total Assets</t>
        </is>
      </c>
      <c r="C4" s="4" t="inlineStr">
        <is>
          <t>FY25 Total Assets</t>
        </is>
      </c>
      <c r="D4" s="4" t="inlineStr">
        <is>
          <t>Avg. Total Assets</t>
        </is>
      </c>
      <c r="E4" s="4" t="inlineStr">
        <is>
          <t>FY26 PAT</t>
        </is>
      </c>
      <c r="F4" s="4" t="inlineStr">
        <is>
          <t>FY26 CFO</t>
        </is>
      </c>
      <c r="G4" s="4" t="inlineStr">
        <is>
          <t>Total Accruals (PAT−CFO)</t>
        </is>
      </c>
      <c r="H4" s="4" t="inlineStr">
        <is>
          <t>Accrual Ratio %</t>
        </is>
      </c>
    </row>
    <row r="5">
      <c r="A5" s="5" t="inlineStr">
        <is>
          <t>KEC International</t>
        </is>
      </c>
      <c r="B5" s="6">
        <f>Inputs!D6</f>
        <v/>
      </c>
      <c r="C5" s="6">
        <f>Inputs!D5</f>
        <v/>
      </c>
      <c r="D5" s="6">
        <f>AVERAGE(B5:C5)</f>
        <v/>
      </c>
      <c r="E5" s="6">
        <f>Inputs!G6</f>
        <v/>
      </c>
      <c r="F5" s="6">
        <f>Inputs!H6</f>
        <v/>
      </c>
      <c r="G5" s="6">
        <f>E5-F5</f>
        <v/>
      </c>
      <c r="H5" s="8">
        <f>G5/D5</f>
        <v/>
      </c>
    </row>
    <row r="6">
      <c r="A6" s="5" t="inlineStr">
        <is>
          <t>Larsen &amp; Toubro</t>
        </is>
      </c>
      <c r="B6" s="6">
        <f>Inputs!D8</f>
        <v/>
      </c>
      <c r="C6" s="6">
        <f>Inputs!D7</f>
        <v/>
      </c>
      <c r="D6" s="6">
        <f>AVERAGE(B6:C6)</f>
        <v/>
      </c>
      <c r="E6" s="6">
        <f>Inputs!G8</f>
        <v/>
      </c>
      <c r="F6" s="6">
        <f>Inputs!H8</f>
        <v/>
      </c>
      <c r="G6" s="6">
        <f>E6-F6</f>
        <v/>
      </c>
      <c r="H6" s="8">
        <f>G6/D6</f>
        <v/>
      </c>
    </row>
    <row r="7">
      <c r="A7" s="5" t="inlineStr">
        <is>
          <t>NCC Limited</t>
        </is>
      </c>
      <c r="B7" s="6">
        <f>Inputs!D10</f>
        <v/>
      </c>
      <c r="C7" s="6">
        <f>Inputs!D9</f>
        <v/>
      </c>
      <c r="D7" s="6">
        <f>AVERAGE(B7:C7)</f>
        <v/>
      </c>
      <c r="E7" s="6">
        <f>Inputs!G10</f>
        <v/>
      </c>
      <c r="F7" s="6">
        <f>Inputs!H10</f>
        <v/>
      </c>
      <c r="G7" s="6">
        <f>E7-F7</f>
        <v/>
      </c>
      <c r="H7" s="8">
        <f>G7/D7</f>
        <v/>
      </c>
    </row>
    <row r="8">
      <c r="A8" s="5" t="inlineStr">
        <is>
          <t>PSP Projects</t>
        </is>
      </c>
      <c r="B8" s="6">
        <f>Inputs!D12</f>
        <v/>
      </c>
      <c r="C8" s="6">
        <f>Inputs!D11</f>
        <v/>
      </c>
      <c r="D8" s="6">
        <f>AVERAGE(B8:C8)</f>
        <v/>
      </c>
      <c r="E8" s="6">
        <f>Inputs!G12</f>
        <v/>
      </c>
      <c r="F8" s="6">
        <f>Inputs!H12</f>
        <v/>
      </c>
      <c r="G8" s="6">
        <f>E8-F8</f>
        <v/>
      </c>
      <c r="H8" s="8">
        <f>G8/D8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2026-09-23T05:33:18Z</dcterms:created>
  <dcterms:modified xmlns:dcterms="http://purl.org/dc/terms/" xmlns:xsi="http://www.w3.org/2001/XMLSchema-instance" xsi:type="dcterms:W3CDTF">2026-09-23T05:33:18Z</dcterms:modified>
</cp:coreProperties>
</file>